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T320_Materialidade" sheetId="1" state="visible" r:id="rId3"/>
    <sheet name="PT540_Sensibilidade_ECL" sheetId="2" state="visible" r:id="rId4"/>
    <sheet name="PT520_Analiticos" sheetId="3" state="visible" r:id="rId5"/>
    <sheet name="PT500_Conciliacao_NE13" sheetId="4" state="visible" r:id="rId6"/>
    <sheet name="PT450_Erros_x_Testes" sheetId="5" state="visible" r:id="rId7"/>
    <sheet name="PT530_MU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<sst xmlns="http://schemas.openxmlformats.org/spreadsheetml/2006/main" count="160" uniqueCount="145">
  <si>
    <t xml:space="preserve">PT 320 – Materialidade (R$ mil) – amarelo = entrada (NE 2025 / julgamento do aluno)</t>
  </si>
  <si>
    <t xml:space="preserve">Lucro antes do IR/CS 2025 consolidado (NE 6(b))</t>
  </si>
  <si>
    <t xml:space="preserve">(-) Ganho líquido na venda do Midway Mall, antes dos tributos (NE 5.3)</t>
  </si>
  <si>
    <t xml:space="preserve">LAIR normalizado (não recorrente excluído)</t>
  </si>
  <si>
    <t xml:space="preserve">Benchmark</t>
  </si>
  <si>
    <t xml:space="preserve">Base (R$ mil)</t>
  </si>
  <si>
    <t xml:space="preserve">%</t>
  </si>
  <si>
    <t xml:space="preserve">Resultado (R$ mil)</t>
  </si>
  <si>
    <t xml:space="preserve">LAIR normalizado (ESCOLHIDO)</t>
  </si>
  <si>
    <t xml:space="preserve">LAIR reportado (referência)</t>
  </si>
  <si>
    <t xml:space="preserve">Receita líquida 2025 (NE 6)</t>
  </si>
  <si>
    <t xml:space="preserve">Ativo total 2025 (NE 6)</t>
  </si>
  <si>
    <t xml:space="preserve">LAIR 2024 (NE 6)</t>
  </si>
  <si>
    <t xml:space="preserve">Materialidade global (PM) – arredondada a R$ 100 mil</t>
  </si>
  <si>
    <t xml:space="preserve">% de execução</t>
  </si>
  <si>
    <t xml:space="preserve">Materialidade para execução (PE)</t>
  </si>
  <si>
    <t xml:space="preserve">% limite de acumulação de distorções claramente triviais</t>
  </si>
  <si>
    <t xml:space="preserve">Limite de distorções claramente triviais</t>
  </si>
  <si>
    <t xml:space="preserve">PM como % do LAIR reportado</t>
  </si>
  <si>
    <t xml:space="preserve">PM como % da receita líquida</t>
  </si>
  <si>
    <t xml:space="preserve">PM como % do saldo líquido de contas a receber (5.478.486)</t>
  </si>
  <si>
    <t xml:space="preserve">PT 540 – Sensibilidade da estimativa de perdas esperadas (NE 13(g)) – R$ mil</t>
  </si>
  <si>
    <t xml:space="preserve">Estágio</t>
  </si>
  <si>
    <t xml:space="preserve">Bruto 31/12/25</t>
  </si>
  <si>
    <t xml:space="preserve">Provisão 31/12/25</t>
  </si>
  <si>
    <t xml:space="preserve">Cobertura 2025</t>
  </si>
  <si>
    <t xml:space="preserve">Bruto 31/12/24</t>
  </si>
  <si>
    <t xml:space="preserve">Provisão 31/12/24</t>
  </si>
  <si>
    <t xml:space="preserve">Cobertura 2024</t>
  </si>
  <si>
    <t xml:space="preserve">Δ cobertura (pp)</t>
  </si>
  <si>
    <t xml:space="preserve">Total</t>
  </si>
  <si>
    <t xml:space="preserve">Cenários (efeito na provisão = bruto × Δ cobertura; positivo = provisão adicional)</t>
  </si>
  <si>
    <t xml:space="preserve">Cenário</t>
  </si>
  <si>
    <t xml:space="preserve">Δ cobertura aplicada</t>
  </si>
  <si>
    <t xml:space="preserve">Efeito (R$ mil)</t>
  </si>
  <si>
    <t xml:space="preserve">Efeito / PM</t>
  </si>
  <si>
    <t xml:space="preserve">Efeito / PE</t>
  </si>
  <si>
    <t xml:space="preserve">Estágio 1 volta à cobertura do comparativo 2024 (re-apresentado na DFP 2025; não comparável com níveis A–H originais)</t>
  </si>
  <si>
    <t xml:space="preserve">Estágio 3 -5 pp de cobertura</t>
  </si>
  <si>
    <t xml:space="preserve">Estágio 3 +5 pp de cobertura</t>
  </si>
  <si>
    <t xml:space="preserve">Estágio 2 -5 pp de cobertura</t>
  </si>
  <si>
    <t xml:space="preserve">Estágio 2 +5 pp</t>
  </si>
  <si>
    <t xml:space="preserve">Cobertura TOTAL da Midway ±1 pp (não depende da alocação por estágio)</t>
  </si>
  <si>
    <t xml:space="preserve">Combinado: E1 volta a 2024 + E3 -2 pp</t>
  </si>
  <si>
    <t xml:space="preserve">Cobertura total Midway: 2024 original (DFP 2024) 17,58% = 1.005.287/5.718.394; 2025 = 23,97% = 1.586.056/6.616.161</t>
  </si>
  <si>
    <t xml:space="preserve">PT 520 – Procedimentos analíticos substantivos (dados REAIS das NE 2025, R$ mil)</t>
  </si>
  <si>
    <t xml:space="preserve">Indicador</t>
  </si>
  <si>
    <t xml:space="preserve">2025</t>
  </si>
  <si>
    <t xml:space="preserve">2024</t>
  </si>
  <si>
    <t xml:space="preserve">Variação %</t>
  </si>
  <si>
    <t xml:space="preserve">Expectativa 2025</t>
  </si>
  <si>
    <t xml:space="preserve">Diferença</t>
  </si>
  <si>
    <t xml:space="preserve">Limite de investigação (PE)</t>
  </si>
  <si>
    <t xml:space="preserve">Investigar?</t>
  </si>
  <si>
    <t xml:space="preserve">Receita de operações de crédito (NE 33)</t>
  </si>
  <si>
    <t xml:space="preserve">Carteira Midway: cartão + crédito pessoal (NE 13a)</t>
  </si>
  <si>
    <t xml:space="preserve">Contas a receber bruto (NE 13a)</t>
  </si>
  <si>
    <t xml:space="preserve">Saldo vencido (NE 13d)</t>
  </si>
  <si>
    <t xml:space="preserve">Provisão para perdas (ECL) (NE 13f)</t>
  </si>
  <si>
    <t xml:space="preserve">Baixas para perda no ano (NE 13f)</t>
  </si>
  <si>
    <t xml:space="preserve">Despesa ECL (NE 34.2)</t>
  </si>
  <si>
    <t xml:space="preserve">Estoques – provisão para perdas (NE 14b)</t>
  </si>
  <si>
    <t xml:space="preserve">Receita líquida (NE 33)</t>
  </si>
  <si>
    <t xml:space="preserve">Custo dos produtos/mercad. e serviços (NE 34.1)</t>
  </si>
  <si>
    <t xml:space="preserve">Razões</t>
  </si>
  <si>
    <t xml:space="preserve">Razão</t>
  </si>
  <si>
    <t xml:space="preserve">Δ (pp)</t>
  </si>
  <si>
    <t xml:space="preserve">ECL / carteira bruta</t>
  </si>
  <si>
    <t xml:space="preserve">Vencido / carteira bruta</t>
  </si>
  <si>
    <t xml:space="preserve">Baixas / ECL inicial</t>
  </si>
  <si>
    <t xml:space="preserve">Provisão estoques / estoques bruto (NE 14: 143.085 / 1.752.648; 86.035 / 1.547.476)</t>
  </si>
  <si>
    <t xml:space="preserve">Margem bruta (consolidada)</t>
  </si>
  <si>
    <t xml:space="preserve">Expectativa da receita de crédito = receita 2024 × crescimento da carteira Midway (fim de ano). Limite de investigação = PE.</t>
  </si>
  <si>
    <t xml:space="preserve">Reconciliação EBITDA (NE 4.2): lucro + IR/CS + resultado financeiro + D&amp;A</t>
  </si>
  <si>
    <t xml:space="preserve">bloco</t>
  </si>
  <si>
    <t xml:space="preserve">item</t>
  </si>
  <si>
    <t xml:space="preserve">ne_2025_mil</t>
  </si>
  <si>
    <t xml:space="preserve">base_sintetica_mil</t>
  </si>
  <si>
    <t xml:space="preserve">diferenca_mil</t>
  </si>
  <si>
    <t xml:space="preserve">produto</t>
  </si>
  <si>
    <t xml:space="preserve">CARTAO_RIACHUELO</t>
  </si>
  <si>
    <t xml:space="preserve">CREDITO_PESSOAL</t>
  </si>
  <si>
    <t xml:space="preserve">CARTAO_TERCEIROS</t>
  </si>
  <si>
    <t xml:space="preserve">CESSAO_FIDC</t>
  </si>
  <si>
    <t xml:space="preserve">OUTROS_VALORES</t>
  </si>
  <si>
    <t xml:space="preserve">ajuste</t>
  </si>
  <si>
    <t xml:space="preserve">PROVISAO_LIMITE_A_LIBERAR</t>
  </si>
  <si>
    <t xml:space="preserve">AVP</t>
  </si>
  <si>
    <t xml:space="preserve">aging</t>
  </si>
  <si>
    <t xml:space="preserve">A_VENCER</t>
  </si>
  <si>
    <t xml:space="preserve">ATE_30</t>
  </si>
  <si>
    <t xml:space="preserve">31_60</t>
  </si>
  <si>
    <t xml:space="preserve">61_90</t>
  </si>
  <si>
    <t xml:space="preserve">91_180</t>
  </si>
  <si>
    <t xml:space="preserve">181_360</t>
  </si>
  <si>
    <t xml:space="preserve">361_540</t>
  </si>
  <si>
    <t xml:space="preserve">total bruto</t>
  </si>
  <si>
    <t xml:space="preserve">Saldo bruto</t>
  </si>
  <si>
    <t xml:space="preserve">ECL</t>
  </si>
  <si>
    <t xml:space="preserve">Provisão total</t>
  </si>
  <si>
    <t xml:space="preserve">líquido</t>
  </si>
  <si>
    <t xml:space="preserve">Saldo líquido</t>
  </si>
  <si>
    <t xml:space="preserve">ECL estágio</t>
  </si>
  <si>
    <t xml:space="preserve">Estágio 1</t>
  </si>
  <si>
    <t xml:space="preserve">Estágio 2</t>
  </si>
  <si>
    <t xml:space="preserve">Estágio 3</t>
  </si>
  <si>
    <t xml:space="preserve">id_erro</t>
  </si>
  <si>
    <t xml:space="preserve">teste</t>
  </si>
  <si>
    <t xml:space="preserve">inseridos</t>
  </si>
  <si>
    <t xml:space="preserve">sinalizados</t>
  </si>
  <si>
    <t xml:space="preserve">identificados</t>
  </si>
  <si>
    <t xml:space="preserve">recall_pct</t>
  </si>
  <si>
    <t xml:space="preserve">falsos_positivos</t>
  </si>
  <si>
    <t xml:space="preserve">distorcao_liquida_inserida_mil</t>
  </si>
  <si>
    <t xml:space="preserve">E05</t>
  </si>
  <si>
    <t xml:space="preserve">T02_vencimento_antes_origem</t>
  </si>
  <si>
    <t xml:space="preserve">E01</t>
  </si>
  <si>
    <t xml:space="preserve">T03_corte_origem_pos_2025</t>
  </si>
  <si>
    <t xml:space="preserve">E04</t>
  </si>
  <si>
    <t xml:space="preserve">T04_duplicidade_contrato</t>
  </si>
  <si>
    <t xml:space="preserve">E02</t>
  </si>
  <si>
    <t xml:space="preserve">T05_estagio_incoerente_atraso</t>
  </si>
  <si>
    <t xml:space="preserve">E03</t>
  </si>
  <si>
    <t xml:space="preserve">T06_estagio3_provisao_baixa</t>
  </si>
  <si>
    <t xml:space="preserve">E06</t>
  </si>
  <si>
    <t xml:space="preserve">T07_titulo_acima_541_dias</t>
  </si>
  <si>
    <t xml:space="preserve">E07</t>
  </si>
  <si>
    <t xml:space="preserve">T08_manual_redondo_fim_periodo</t>
  </si>
  <si>
    <t xml:space="preserve">TOTAL</t>
  </si>
  <si>
    <t xml:space="preserve">Distorção líquida total / PM</t>
  </si>
  <si>
    <t xml:space="preserve">PT 530 – Amostragem por Unidade Monetária (base SINTÉTICA)</t>
  </si>
  <si>
    <t xml:space="preserve">Valor contábil da população (R$ mil)</t>
  </si>
  <si>
    <t xml:space="preserve">Erro tolerável = PE (R$ mil)</t>
  </si>
  <si>
    <t xml:space="preserve">Fator de confiança 95% (Poisson, 0 erros)</t>
  </si>
  <si>
    <t xml:space="preserve">Erro esperado (% do tolerável)</t>
  </si>
  <si>
    <t xml:space="preserve">Fator de expansão</t>
  </si>
  <si>
    <t xml:space="preserve">Intervalo de amostragem (R$ mil)</t>
  </si>
  <si>
    <t xml:space="preserve">Tamanho teórico da amostra</t>
  </si>
  <si>
    <t xml:space="preserve">Itens selecionados</t>
  </si>
  <si>
    <t xml:space="preserve">Itens com distorção</t>
  </si>
  <si>
    <t xml:space="preserve">Distorção projetada (R$ mil)</t>
  </si>
  <si>
    <t xml:space="preserve">Limite superior Stringer (R$ mil)</t>
  </si>
  <si>
    <t xml:space="preserve">Distorção real inserida (R$ mil)</t>
  </si>
  <si>
    <t xml:space="preserve">Conclusão</t>
  </si>
  <si>
    <t xml:space="preserve">REJEITAR (limite superior &gt; erro tolerável)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</si>
</sst>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General"/>
    <numFmt numFmtId="167" formatCode="0%"/>
    <numFmt numFmtId="168" formatCode="0.00%"/>
    <numFmt numFmtId="169" formatCode="0.0\x"/>
    <numFmt numFmtId="170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1878987</v>
      </c>
    </row>
    <row r="4" customFormat="false" ht="15" hidden="false" customHeight="false" outlineLevel="0" collapsed="false">
      <c r="A4" s="0" t="s">
        <v>2</v>
      </c>
      <c r="B4" s="2" t="n">
        <v>1204894</v>
      </c>
    </row>
    <row r="5" customFormat="false" ht="15" hidden="false" customHeight="false" outlineLevel="0" collapsed="false">
      <c r="A5" s="0" t="s">
        <v>3</v>
      </c>
      <c r="B5" s="0" t="n">
        <f aca="false">B3-B4</f>
        <v>674093</v>
      </c>
    </row>
    <row r="7" customFormat="false" ht="15" hidden="false" customHeight="false" outlineLevel="0" collapsed="false">
      <c r="A7" s="3" t="s">
        <v>4</v>
      </c>
      <c r="B7" s="3" t="s">
        <v>5</v>
      </c>
      <c r="C7" s="3" t="s">
        <v>6</v>
      </c>
      <c r="D7" s="3" t="s">
        <v>7</v>
      </c>
    </row>
    <row r="8" customFormat="false" ht="15" hidden="false" customHeight="false" outlineLevel="0" collapsed="false">
      <c r="A8" s="0" t="s">
        <v>8</v>
      </c>
      <c r="B8" s="0" t="n">
        <f aca="false">B5</f>
        <v>674093</v>
      </c>
      <c r="C8" s="4" t="n">
        <v>0.05</v>
      </c>
      <c r="D8" s="5" t="n">
        <f aca="false">B8*C8</f>
        <v>33704.65</v>
      </c>
    </row>
    <row r="9" customFormat="false" ht="15" hidden="false" customHeight="false" outlineLevel="0" collapsed="false">
      <c r="A9" s="0" t="s">
        <v>9</v>
      </c>
      <c r="B9" s="0" t="n">
        <f aca="false">B3</f>
        <v>1878987</v>
      </c>
      <c r="C9" s="4" t="n">
        <v>0.05</v>
      </c>
      <c r="D9" s="5" t="n">
        <f aca="false">B9*C9</f>
        <v>93949.35</v>
      </c>
    </row>
    <row r="10" customFormat="false" ht="15" hidden="false" customHeight="false" outlineLevel="0" collapsed="false">
      <c r="A10" s="0" t="s">
        <v>10</v>
      </c>
      <c r="B10" s="0" t="n">
        <v>10497046</v>
      </c>
      <c r="C10" s="4" t="n">
        <v>0.005</v>
      </c>
      <c r="D10" s="5" t="n">
        <f aca="false">B10*C10</f>
        <v>52485.23</v>
      </c>
    </row>
    <row r="11" customFormat="false" ht="15" hidden="false" customHeight="false" outlineLevel="0" collapsed="false">
      <c r="A11" s="0" t="s">
        <v>11</v>
      </c>
      <c r="B11" s="0" t="n">
        <v>14872670</v>
      </c>
      <c r="C11" s="4" t="n">
        <v>0.005</v>
      </c>
      <c r="D11" s="5" t="n">
        <f aca="false">B11*C11</f>
        <v>74363.35</v>
      </c>
    </row>
    <row r="12" customFormat="false" ht="15" hidden="false" customHeight="false" outlineLevel="0" collapsed="false">
      <c r="A12" s="0" t="s">
        <v>12</v>
      </c>
      <c r="B12" s="0" t="n">
        <v>361945</v>
      </c>
      <c r="C12" s="4" t="n">
        <v>0.05</v>
      </c>
      <c r="D12" s="5" t="n">
        <f aca="false">B12*C12</f>
        <v>18097.25</v>
      </c>
    </row>
    <row r="14" customFormat="false" ht="15" hidden="false" customHeight="false" outlineLevel="0" collapsed="false">
      <c r="A14" s="0" t="s">
        <v>13</v>
      </c>
      <c r="B14" s="0" t="n">
        <f aca="false">ROUND(D8,-2)</f>
        <v>33700</v>
      </c>
    </row>
    <row r="15" customFormat="false" ht="15" hidden="false" customHeight="false" outlineLevel="0" collapsed="false">
      <c r="A15" s="0" t="s">
        <v>14</v>
      </c>
      <c r="B15" s="6" t="n">
        <v>0.75</v>
      </c>
    </row>
    <row r="16" customFormat="false" ht="15" hidden="false" customHeight="false" outlineLevel="0" collapsed="false">
      <c r="A16" s="0" t="s">
        <v>15</v>
      </c>
      <c r="B16" s="0" t="n">
        <f aca="false">B14*B15</f>
        <v>25275</v>
      </c>
    </row>
    <row r="17" customFormat="false" ht="15" hidden="false" customHeight="false" outlineLevel="0" collapsed="false">
      <c r="A17" s="0" t="s">
        <v>16</v>
      </c>
      <c r="B17" s="6" t="n">
        <v>0.05</v>
      </c>
    </row>
    <row r="18" customFormat="false" ht="15" hidden="false" customHeight="false" outlineLevel="0" collapsed="false">
      <c r="A18" s="0" t="s">
        <v>17</v>
      </c>
      <c r="B18" s="0" t="n">
        <f aca="false">B14*B17</f>
        <v>1685</v>
      </c>
    </row>
    <row r="20" customFormat="false" ht="15" hidden="false" customHeight="false" outlineLevel="0" collapsed="false">
      <c r="A20" s="0" t="s">
        <v>18</v>
      </c>
      <c r="B20" s="7" t="n">
        <f aca="false">B14/B3</f>
        <v>0.017935195932702</v>
      </c>
    </row>
    <row r="21" customFormat="false" ht="15" hidden="false" customHeight="false" outlineLevel="0" collapsed="false">
      <c r="A21" s="0" t="s">
        <v>19</v>
      </c>
      <c r="B21" s="7" t="n">
        <f aca="false">B14/B10</f>
        <v>0.00321042700965586</v>
      </c>
    </row>
    <row r="22" customFormat="false" ht="15" hidden="false" customHeight="false" outlineLevel="0" collapsed="false">
      <c r="A22" s="0" t="s">
        <v>20</v>
      </c>
      <c r="B22" s="7" t="n">
        <f aca="false">B14/5478486</f>
        <v>0.00615133451103097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21</v>
      </c>
    </row>
    <row r="3" customFormat="false" ht="28.3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</row>
    <row r="4" customFormat="false" ht="15" hidden="false" customHeight="false" outlineLevel="0" collapsed="false">
      <c r="A4" s="0" t="n">
        <v>1</v>
      </c>
      <c r="B4" s="0" t="n">
        <v>4679473</v>
      </c>
      <c r="C4" s="0" t="n">
        <v>209602</v>
      </c>
      <c r="D4" s="7" t="n">
        <f aca="false">C4/B4</f>
        <v>0.0447917959992503</v>
      </c>
      <c r="E4" s="0" t="n">
        <v>4600923</v>
      </c>
      <c r="F4" s="0" t="n">
        <v>301050</v>
      </c>
      <c r="G4" s="7" t="n">
        <f aca="false">F4/E4</f>
        <v>0.0654325229959293</v>
      </c>
      <c r="H4" s="5" t="n">
        <f aca="false">(D4-G4)*100</f>
        <v>-2.06407269966789</v>
      </c>
    </row>
    <row r="5" customFormat="false" ht="15" hidden="false" customHeight="false" outlineLevel="0" collapsed="false">
      <c r="A5" s="0" t="n">
        <v>2</v>
      </c>
      <c r="B5" s="0" t="n">
        <v>179402</v>
      </c>
      <c r="C5" s="0" t="n">
        <v>53537</v>
      </c>
      <c r="D5" s="7" t="n">
        <f aca="false">C5/B5</f>
        <v>0.298419192651141</v>
      </c>
      <c r="E5" s="0" t="n">
        <v>236887</v>
      </c>
      <c r="F5" s="0" t="n">
        <v>59247</v>
      </c>
      <c r="G5" s="7" t="n">
        <f aca="false">F5/E5</f>
        <v>0.250106590906213</v>
      </c>
      <c r="H5" s="5" t="n">
        <f aca="false">(D5-G5)*100</f>
        <v>4.83126017449284</v>
      </c>
    </row>
    <row r="6" customFormat="false" ht="15" hidden="false" customHeight="false" outlineLevel="0" collapsed="false">
      <c r="A6" s="0" t="n">
        <v>3</v>
      </c>
      <c r="B6" s="0" t="n">
        <v>1757287</v>
      </c>
      <c r="C6" s="0" t="n">
        <v>1322917</v>
      </c>
      <c r="D6" s="7" t="n">
        <f aca="false">C6/B6</f>
        <v>0.752817837951342</v>
      </c>
      <c r="E6" s="0" t="n">
        <v>880584</v>
      </c>
      <c r="F6" s="0" t="n">
        <v>644990</v>
      </c>
      <c r="G6" s="7" t="n">
        <f aca="false">F6/E6</f>
        <v>0.732457096654039</v>
      </c>
      <c r="H6" s="5" t="n">
        <f aca="false">(D6-G6)*100</f>
        <v>2.03607412973034</v>
      </c>
    </row>
    <row r="7" customFormat="false" ht="15" hidden="false" customHeight="false" outlineLevel="0" collapsed="false">
      <c r="A7" s="0" t="s">
        <v>30</v>
      </c>
      <c r="B7" s="0" t="n">
        <f aca="false">SUM(B4:B6)</f>
        <v>6616162</v>
      </c>
      <c r="C7" s="0" t="n">
        <f aca="false">SUM(C4:C6)</f>
        <v>1586056</v>
      </c>
      <c r="D7" s="7" t="n">
        <f aca="false">C7/B7</f>
        <v>0.239724480748809</v>
      </c>
      <c r="E7" s="5" t="n">
        <f aca="false">SUM(E4:E6)</f>
        <v>5718394</v>
      </c>
      <c r="F7" s="5" t="n">
        <f aca="false">SUM(F4:F6)</f>
        <v>1005287</v>
      </c>
      <c r="G7" s="7" t="n">
        <f aca="false">F7/E7</f>
        <v>0.175798834427988</v>
      </c>
    </row>
    <row r="9" customFormat="false" ht="15" hidden="false" customHeight="false" outlineLevel="0" collapsed="false">
      <c r="A9" s="1" t="s">
        <v>31</v>
      </c>
    </row>
    <row r="10" customFormat="false" ht="28.35" hidden="false" customHeight="false" outlineLevel="0" collapsed="false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</row>
    <row r="11" customFormat="false" ht="15" hidden="false" customHeight="false" outlineLevel="0" collapsed="false">
      <c r="A11" s="0" t="s">
        <v>37</v>
      </c>
      <c r="B11" s="8" t="n">
        <f aca="false">G4-D4</f>
        <v>0.0206407269966789</v>
      </c>
      <c r="C11" s="5" t="n">
        <f aca="false">B11*B4</f>
        <v>96587.7246813302</v>
      </c>
      <c r="D11" s="9" t="n">
        <f aca="false">C11/PT320_Materialidade!$B$14</f>
        <v>2.86610458995045</v>
      </c>
      <c r="E11" s="9" t="n">
        <f aca="false">C11/PT320_Materialidade!$B$16</f>
        <v>3.8214727866006</v>
      </c>
    </row>
    <row r="12" customFormat="false" ht="15" hidden="false" customHeight="false" outlineLevel="0" collapsed="false">
      <c r="A12" s="0" t="s">
        <v>38</v>
      </c>
      <c r="B12" s="8" t="n">
        <v>-0.05</v>
      </c>
      <c r="C12" s="5" t="n">
        <f aca="false">B12*B6</f>
        <v>-87864.35</v>
      </c>
      <c r="D12" s="9" t="n">
        <f aca="false">C12/PT320_Materialidade!$B$14</f>
        <v>-2.60725074183976</v>
      </c>
      <c r="E12" s="9" t="n">
        <f aca="false">C12/PT320_Materialidade!$B$16</f>
        <v>-3.47633432245302</v>
      </c>
    </row>
    <row r="13" customFormat="false" ht="15" hidden="false" customHeight="false" outlineLevel="0" collapsed="false">
      <c r="A13" s="0" t="s">
        <v>39</v>
      </c>
      <c r="B13" s="8" t="n">
        <v>0.05</v>
      </c>
      <c r="C13" s="5" t="n">
        <f aca="false">B13*B6</f>
        <v>87864.35</v>
      </c>
      <c r="D13" s="9" t="n">
        <f aca="false">C13/PT320_Materialidade!$B$14</f>
        <v>2.60725074183976</v>
      </c>
      <c r="E13" s="9" t="n">
        <f aca="false">C13/PT320_Materialidade!$B$16</f>
        <v>3.47633432245302</v>
      </c>
    </row>
    <row r="14" customFormat="false" ht="15" hidden="false" customHeight="false" outlineLevel="0" collapsed="false">
      <c r="A14" s="0" t="s">
        <v>40</v>
      </c>
      <c r="B14" s="8" t="n">
        <v>-0.05</v>
      </c>
      <c r="C14" s="5" t="n">
        <f aca="false">B14*B5</f>
        <v>-8970.1</v>
      </c>
      <c r="D14" s="9" t="n">
        <f aca="false">C14/PT320_Materialidade!$B$14</f>
        <v>-0.266175074183976</v>
      </c>
      <c r="E14" s="9" t="n">
        <f aca="false">C14/PT320_Materialidade!$B$16</f>
        <v>-0.354900098911968</v>
      </c>
    </row>
    <row r="15" customFormat="false" ht="15" hidden="false" customHeight="false" outlineLevel="0" collapsed="false">
      <c r="A15" s="0" t="s">
        <v>41</v>
      </c>
      <c r="B15" s="8" t="n">
        <v>0.05</v>
      </c>
      <c r="C15" s="5" t="n">
        <f aca="false">B15*B5</f>
        <v>8970.1</v>
      </c>
      <c r="D15" s="9" t="n">
        <f aca="false">C15/PT320_Materialidade!$B$14</f>
        <v>0.266175074183976</v>
      </c>
      <c r="E15" s="9" t="n">
        <f aca="false">C15/PT320_Materialidade!$B$16</f>
        <v>0.354900098911968</v>
      </c>
    </row>
    <row r="16" customFormat="false" ht="15" hidden="false" customHeight="false" outlineLevel="0" collapsed="false">
      <c r="A16" s="0" t="s">
        <v>42</v>
      </c>
      <c r="B16" s="8" t="n">
        <v>0.01</v>
      </c>
      <c r="C16" s="5" t="n">
        <f aca="false">B16*B7</f>
        <v>66161.62</v>
      </c>
      <c r="D16" s="9" t="n">
        <f aca="false">C16/PT320_Materialidade!$B$14</f>
        <v>1.9632528189911</v>
      </c>
      <c r="E16" s="9" t="n">
        <f aca="false">C16/PT320_Materialidade!$B$16</f>
        <v>2.61767042532146</v>
      </c>
    </row>
    <row r="17" customFormat="false" ht="15" hidden="false" customHeight="false" outlineLevel="0" collapsed="false">
      <c r="A17" s="0" t="s">
        <v>43</v>
      </c>
      <c r="C17" s="0" t="n">
        <f aca="false">C11+(-0.02*B6)</f>
        <v>61441.9846813302</v>
      </c>
      <c r="D17" s="9" t="n">
        <f aca="false">C17/PT320_Materialidade!$B$14</f>
        <v>1.82320429321455</v>
      </c>
    </row>
    <row r="18" customFormat="false" ht="15" hidden="false" customHeight="false" outlineLevel="0" collapsed="false">
      <c r="A18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45</v>
      </c>
    </row>
    <row r="3" customFormat="false" ht="28.35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</row>
    <row r="4" customFormat="false" ht="15" hidden="false" customHeight="false" outlineLevel="0" collapsed="false">
      <c r="A4" s="0" t="s">
        <v>54</v>
      </c>
      <c r="B4" s="0" t="n">
        <v>2454777</v>
      </c>
      <c r="C4" s="0" t="n">
        <v>2238120</v>
      </c>
      <c r="D4" s="10" t="n">
        <f aca="false">B4/C4-1</f>
        <v>0.096803120476114</v>
      </c>
      <c r="E4" s="5" t="n">
        <f aca="false">C4*(B5/C5)</f>
        <v>2589657.89617348</v>
      </c>
      <c r="F4" s="5" t="n">
        <f aca="false">B4-E4</f>
        <v>-134880.896173478</v>
      </c>
      <c r="G4" s="5" t="n">
        <f aca="false">PT320_Materialidade!$B$16</f>
        <v>25275</v>
      </c>
      <c r="H4" s="0" t="str">
        <f aca="false">IF(ABS(F4)&gt;G4,"SIM","NÃO")</f>
        <v>SIM</v>
      </c>
    </row>
    <row r="5" customFormat="false" ht="15" hidden="false" customHeight="false" outlineLevel="0" collapsed="false">
      <c r="A5" s="0" t="s">
        <v>55</v>
      </c>
      <c r="B5" s="0" t="n">
        <v>6616161</v>
      </c>
      <c r="C5" s="0" t="n">
        <v>5718038</v>
      </c>
      <c r="D5" s="10" t="n">
        <f aca="false">B5/C5-1</f>
        <v>0.157068386044304</v>
      </c>
    </row>
    <row r="6" customFormat="false" ht="15" hidden="false" customHeight="false" outlineLevel="0" collapsed="false">
      <c r="A6" s="0" t="s">
        <v>56</v>
      </c>
      <c r="B6" s="0" t="n">
        <v>7065501</v>
      </c>
      <c r="C6" s="0" t="n">
        <v>6117786</v>
      </c>
      <c r="D6" s="10" t="n">
        <f aca="false">B6/C6-1</f>
        <v>0.154911433646094</v>
      </c>
    </row>
    <row r="7" customFormat="false" ht="15" hidden="false" customHeight="false" outlineLevel="0" collapsed="false">
      <c r="A7" s="0" t="s">
        <v>57</v>
      </c>
      <c r="B7" s="0" t="n">
        <v>1970663</v>
      </c>
      <c r="C7" s="0" t="n">
        <v>895053</v>
      </c>
      <c r="D7" s="10" t="n">
        <f aca="false">B7/C7-1</f>
        <v>1.2017277189172</v>
      </c>
    </row>
    <row r="8" customFormat="false" ht="15" hidden="false" customHeight="false" outlineLevel="0" collapsed="false">
      <c r="A8" s="0" t="s">
        <v>58</v>
      </c>
      <c r="B8" s="0" t="n">
        <v>1587015</v>
      </c>
      <c r="C8" s="0" t="n">
        <v>1006059</v>
      </c>
      <c r="D8" s="10" t="n">
        <f aca="false">B8/C8-1</f>
        <v>0.577457186904545</v>
      </c>
    </row>
    <row r="9" customFormat="false" ht="15" hidden="false" customHeight="false" outlineLevel="0" collapsed="false">
      <c r="A9" s="0" t="s">
        <v>59</v>
      </c>
      <c r="B9" s="0" t="n">
        <v>272324</v>
      </c>
      <c r="C9" s="0" t="n">
        <v>971639</v>
      </c>
      <c r="D9" s="10" t="n">
        <f aca="false">B9/C9-1</f>
        <v>-0.719727182626469</v>
      </c>
    </row>
    <row r="10" customFormat="false" ht="15" hidden="false" customHeight="false" outlineLevel="0" collapsed="false">
      <c r="A10" s="0" t="s">
        <v>60</v>
      </c>
      <c r="B10" s="0" t="n">
        <v>845004</v>
      </c>
      <c r="C10" s="0" t="n">
        <v>794613</v>
      </c>
      <c r="D10" s="10" t="n">
        <f aca="false">B10/C10-1</f>
        <v>0.0634157759815155</v>
      </c>
    </row>
    <row r="11" customFormat="false" ht="15" hidden="false" customHeight="false" outlineLevel="0" collapsed="false">
      <c r="A11" s="0" t="s">
        <v>61</v>
      </c>
      <c r="B11" s="0" t="n">
        <v>143085</v>
      </c>
      <c r="C11" s="0" t="n">
        <v>86035</v>
      </c>
      <c r="D11" s="10" t="n">
        <f aca="false">B11/C11-1</f>
        <v>0.663102225838322</v>
      </c>
    </row>
    <row r="12" customFormat="false" ht="15" hidden="false" customHeight="false" outlineLevel="0" collapsed="false">
      <c r="A12" s="0" t="s">
        <v>62</v>
      </c>
      <c r="B12" s="0" t="n">
        <v>10497046</v>
      </c>
      <c r="C12" s="0" t="n">
        <v>9634207</v>
      </c>
      <c r="D12" s="10" t="n">
        <f aca="false">B12/C12-1</f>
        <v>0.089559939909948</v>
      </c>
    </row>
    <row r="13" customFormat="false" ht="15" hidden="false" customHeight="false" outlineLevel="0" collapsed="false">
      <c r="A13" s="0" t="s">
        <v>63</v>
      </c>
      <c r="B13" s="0" t="n">
        <v>4114271</v>
      </c>
      <c r="C13" s="0" t="n">
        <v>3952420</v>
      </c>
      <c r="D13" s="10" t="n">
        <f aca="false">B13/C13-1</f>
        <v>0.0409498484472803</v>
      </c>
    </row>
    <row r="15" customFormat="false" ht="15" hidden="false" customHeight="false" outlineLevel="0" collapsed="false">
      <c r="A15" s="1" t="s">
        <v>64</v>
      </c>
    </row>
    <row r="16" customFormat="false" ht="15" hidden="false" customHeight="false" outlineLevel="0" collapsed="false">
      <c r="A16" s="3" t="s">
        <v>65</v>
      </c>
      <c r="B16" s="3" t="s">
        <v>47</v>
      </c>
      <c r="C16" s="3" t="s">
        <v>48</v>
      </c>
      <c r="D16" s="3" t="s">
        <v>66</v>
      </c>
    </row>
    <row r="17" customFormat="false" ht="15" hidden="false" customHeight="false" outlineLevel="0" collapsed="false">
      <c r="A17" s="0" t="s">
        <v>67</v>
      </c>
      <c r="B17" s="7" t="n">
        <f aca="false">B8/B6</f>
        <v>0.224614645161044</v>
      </c>
      <c r="C17" s="7" t="n">
        <f aca="false">C8/C6</f>
        <v>0.16444821705107</v>
      </c>
      <c r="D17" s="11" t="n">
        <f aca="false">(B17-C17)*100</f>
        <v>6.01664281099734</v>
      </c>
    </row>
    <row r="18" customFormat="false" ht="15" hidden="false" customHeight="false" outlineLevel="0" collapsed="false">
      <c r="A18" s="0" t="s">
        <v>68</v>
      </c>
      <c r="B18" s="7" t="n">
        <f aca="false">B7/B6</f>
        <v>0.278913413217265</v>
      </c>
      <c r="C18" s="7" t="n">
        <f aca="false">C7/C6</f>
        <v>0.146303417608919</v>
      </c>
      <c r="D18" s="11" t="n">
        <f aca="false">(B18-C18)*100</f>
        <v>13.2609995608346</v>
      </c>
    </row>
    <row r="19" customFormat="false" ht="15" hidden="false" customHeight="false" outlineLevel="0" collapsed="false">
      <c r="A19" s="0" t="s">
        <v>69</v>
      </c>
      <c r="B19" s="7" t="n">
        <f aca="false">B9/C8</f>
        <v>0.27068392609181</v>
      </c>
    </row>
    <row r="20" customFormat="false" ht="15" hidden="false" customHeight="false" outlineLevel="0" collapsed="false">
      <c r="A20" s="0" t="s">
        <v>70</v>
      </c>
      <c r="B20" s="7" t="n">
        <f aca="false">143085/(1609563+143085)</f>
        <v>0.0816393251810974</v>
      </c>
      <c r="C20" s="7" t="n">
        <f aca="false">86035/(1461441+86035)</f>
        <v>0.055596985025939</v>
      </c>
      <c r="D20" s="11" t="n">
        <f aca="false">(B20-C20)*100</f>
        <v>2.60423401551584</v>
      </c>
    </row>
    <row r="21" customFormat="false" ht="15" hidden="false" customHeight="false" outlineLevel="0" collapsed="false">
      <c r="A21" s="0" t="s">
        <v>71</v>
      </c>
      <c r="B21" s="7" t="n">
        <f aca="false">(B12-B13)/B12</f>
        <v>0.608054399304338</v>
      </c>
      <c r="C21" s="7" t="n">
        <f aca="false">(C12-C13)/C12</f>
        <v>0.589751393134899</v>
      </c>
      <c r="D21" s="11" t="n">
        <f aca="false">(B21-C21)*100</f>
        <v>1.83030061694381</v>
      </c>
    </row>
    <row r="23" customFormat="false" ht="15" hidden="false" customHeight="false" outlineLevel="0" collapsed="false">
      <c r="A23" s="0" t="s">
        <v>72</v>
      </c>
    </row>
    <row r="24" customFormat="false" ht="15" hidden="false" customHeight="false" outlineLevel="0" collapsed="false">
      <c r="A24" s="0" t="s">
        <v>73</v>
      </c>
      <c r="B24" s="0" t="n">
        <f aca="false">1475168+403819+496741+758497</f>
        <v>3134225</v>
      </c>
      <c r="C24" s="0" t="n">
        <v>3134225</v>
      </c>
      <c r="D24" s="0" t="n">
        <f aca="false">B24-C24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3" t="s">
        <v>74</v>
      </c>
      <c r="B1" s="3" t="s">
        <v>75</v>
      </c>
      <c r="C1" s="3" t="s">
        <v>76</v>
      </c>
      <c r="D1" s="3" t="s">
        <v>77</v>
      </c>
      <c r="E1" s="3" t="s">
        <v>78</v>
      </c>
    </row>
    <row r="2" customFormat="false" ht="15" hidden="false" customHeight="false" outlineLevel="0" collapsed="false">
      <c r="A2" s="0" t="s">
        <v>79</v>
      </c>
      <c r="B2" s="0" t="s">
        <v>80</v>
      </c>
      <c r="C2" s="0" t="n">
        <v>5730153</v>
      </c>
      <c r="D2" s="0" t="n">
        <v>5773466.906</v>
      </c>
      <c r="E2" s="0" t="n">
        <f aca="false">D2-C2</f>
        <v>43313.9060000004</v>
      </c>
    </row>
    <row r="3" customFormat="false" ht="15" hidden="false" customHeight="false" outlineLevel="0" collapsed="false">
      <c r="A3" s="0" t="s">
        <v>79</v>
      </c>
      <c r="B3" s="0" t="s">
        <v>81</v>
      </c>
      <c r="C3" s="0" t="n">
        <v>886008</v>
      </c>
      <c r="D3" s="0" t="n">
        <v>887086.644</v>
      </c>
      <c r="E3" s="0" t="n">
        <f aca="false">D3-C3</f>
        <v>1078.64399999997</v>
      </c>
    </row>
    <row r="4" customFormat="false" ht="15" hidden="false" customHeight="false" outlineLevel="0" collapsed="false">
      <c r="A4" s="0" t="s">
        <v>79</v>
      </c>
      <c r="B4" s="0" t="s">
        <v>82</v>
      </c>
      <c r="C4" s="0" t="n">
        <v>386955</v>
      </c>
      <c r="D4" s="0" t="n">
        <v>386955</v>
      </c>
      <c r="E4" s="0" t="n">
        <f aca="false">D4-C4</f>
        <v>0</v>
      </c>
    </row>
    <row r="5" customFormat="false" ht="15" hidden="false" customHeight="false" outlineLevel="0" collapsed="false">
      <c r="A5" s="0" t="s">
        <v>79</v>
      </c>
      <c r="B5" s="0" t="s">
        <v>83</v>
      </c>
      <c r="C5" s="0" t="n">
        <v>50461</v>
      </c>
      <c r="D5" s="0" t="n">
        <v>50461</v>
      </c>
      <c r="E5" s="0" t="n">
        <f aca="false">D5-C5</f>
        <v>0</v>
      </c>
    </row>
    <row r="6" customFormat="false" ht="15" hidden="false" customHeight="false" outlineLevel="0" collapsed="false">
      <c r="A6" s="0" t="s">
        <v>79</v>
      </c>
      <c r="B6" s="0" t="s">
        <v>84</v>
      </c>
      <c r="C6" s="0" t="n">
        <v>50396</v>
      </c>
      <c r="D6" s="0" t="n">
        <v>50396</v>
      </c>
      <c r="E6" s="0" t="n">
        <f aca="false">D6-C6</f>
        <v>0</v>
      </c>
    </row>
    <row r="7" customFormat="false" ht="15" hidden="false" customHeight="false" outlineLevel="0" collapsed="false">
      <c r="A7" s="0" t="s">
        <v>85</v>
      </c>
      <c r="B7" s="0" t="s">
        <v>86</v>
      </c>
      <c r="C7" s="0" t="n">
        <v>-34104</v>
      </c>
      <c r="D7" s="0" t="n">
        <v>-34104</v>
      </c>
      <c r="E7" s="0" t="n">
        <f aca="false">D7-C7</f>
        <v>0</v>
      </c>
    </row>
    <row r="8" customFormat="false" ht="15" hidden="false" customHeight="false" outlineLevel="0" collapsed="false">
      <c r="A8" s="0" t="s">
        <v>85</v>
      </c>
      <c r="B8" s="0" t="s">
        <v>87</v>
      </c>
      <c r="C8" s="0" t="n">
        <v>-4368</v>
      </c>
      <c r="D8" s="0" t="n">
        <v>-4368</v>
      </c>
      <c r="E8" s="0" t="n">
        <f aca="false">D8-C8</f>
        <v>0</v>
      </c>
    </row>
    <row r="9" customFormat="false" ht="15" hidden="false" customHeight="false" outlineLevel="0" collapsed="false">
      <c r="A9" s="0" t="s">
        <v>88</v>
      </c>
      <c r="B9" s="0" t="s">
        <v>89</v>
      </c>
      <c r="C9" s="0" t="n">
        <v>5094838</v>
      </c>
      <c r="D9" s="0" t="n">
        <v>5128430.55</v>
      </c>
      <c r="E9" s="0" t="n">
        <f aca="false">D9-C9</f>
        <v>33592.5499999998</v>
      </c>
    </row>
    <row r="10" customFormat="false" ht="15" hidden="false" customHeight="false" outlineLevel="0" collapsed="false">
      <c r="A10" s="0" t="s">
        <v>88</v>
      </c>
      <c r="B10" s="0" t="s">
        <v>90</v>
      </c>
      <c r="C10" s="0" t="n">
        <v>145437</v>
      </c>
      <c r="D10" s="0" t="n">
        <v>145437</v>
      </c>
      <c r="E10" s="0" t="n">
        <f aca="false">D10-C10</f>
        <v>0</v>
      </c>
    </row>
    <row r="11" customFormat="false" ht="15" hidden="false" customHeight="false" outlineLevel="0" collapsed="false">
      <c r="A11" s="0" t="s">
        <v>88</v>
      </c>
      <c r="B11" s="0" t="s">
        <v>91</v>
      </c>
      <c r="C11" s="0" t="n">
        <v>90881</v>
      </c>
      <c r="D11" s="0" t="n">
        <v>90881</v>
      </c>
      <c r="E11" s="0" t="n">
        <f aca="false">D11-C11</f>
        <v>0</v>
      </c>
    </row>
    <row r="12" customFormat="false" ht="15" hidden="false" customHeight="false" outlineLevel="0" collapsed="false">
      <c r="A12" s="0" t="s">
        <v>88</v>
      </c>
      <c r="B12" s="0" t="s">
        <v>92</v>
      </c>
      <c r="C12" s="0" t="n">
        <v>110037</v>
      </c>
      <c r="D12" s="0" t="n">
        <v>110037</v>
      </c>
      <c r="E12" s="0" t="n">
        <f aca="false">D12-C12</f>
        <v>0</v>
      </c>
    </row>
    <row r="13" customFormat="false" ht="15" hidden="false" customHeight="false" outlineLevel="0" collapsed="false">
      <c r="A13" s="0" t="s">
        <v>88</v>
      </c>
      <c r="B13" s="0" t="s">
        <v>93</v>
      </c>
      <c r="C13" s="0" t="n">
        <v>380520</v>
      </c>
      <c r="D13" s="0" t="n">
        <v>380520</v>
      </c>
      <c r="E13" s="0" t="n">
        <f aca="false">D13-C13</f>
        <v>0</v>
      </c>
    </row>
    <row r="14" customFormat="false" ht="15" hidden="false" customHeight="false" outlineLevel="0" collapsed="false">
      <c r="A14" s="0" t="s">
        <v>88</v>
      </c>
      <c r="B14" s="0" t="s">
        <v>94</v>
      </c>
      <c r="C14" s="0" t="n">
        <v>732035</v>
      </c>
      <c r="D14" s="0" t="n">
        <v>732035</v>
      </c>
      <c r="E14" s="0" t="n">
        <f aca="false">D14-C14</f>
        <v>0</v>
      </c>
    </row>
    <row r="15" customFormat="false" ht="15" hidden="false" customHeight="false" outlineLevel="0" collapsed="false">
      <c r="A15" s="0" t="s">
        <v>88</v>
      </c>
      <c r="B15" s="0" t="s">
        <v>95</v>
      </c>
      <c r="C15" s="0" t="n">
        <v>511753</v>
      </c>
      <c r="D15" s="0" t="n">
        <v>522553</v>
      </c>
      <c r="E15" s="0" t="n">
        <f aca="false">D15-C15</f>
        <v>10800</v>
      </c>
    </row>
    <row r="16" customFormat="false" ht="15" hidden="false" customHeight="false" outlineLevel="0" collapsed="false">
      <c r="A16" s="0" t="s">
        <v>96</v>
      </c>
      <c r="B16" s="0" t="s">
        <v>97</v>
      </c>
      <c r="C16" s="0" t="n">
        <v>7065501</v>
      </c>
      <c r="D16" s="0" t="n">
        <v>7109893.55</v>
      </c>
      <c r="E16" s="0" t="n">
        <f aca="false">D16-C16</f>
        <v>44392.5499999998</v>
      </c>
    </row>
    <row r="17" customFormat="false" ht="15" hidden="false" customHeight="false" outlineLevel="0" collapsed="false">
      <c r="A17" s="0" t="s">
        <v>98</v>
      </c>
      <c r="B17" s="0" t="s">
        <v>99</v>
      </c>
      <c r="C17" s="0" t="n">
        <v>1587015</v>
      </c>
      <c r="D17" s="0" t="n">
        <v>1565037.629</v>
      </c>
      <c r="E17" s="0" t="n">
        <f aca="false">D17-C17</f>
        <v>-21977.371</v>
      </c>
    </row>
    <row r="18" customFormat="false" ht="15" hidden="false" customHeight="false" outlineLevel="0" collapsed="false">
      <c r="A18" s="0" t="s">
        <v>100</v>
      </c>
      <c r="B18" s="0" t="s">
        <v>101</v>
      </c>
      <c r="C18" s="0" t="n">
        <v>5478486</v>
      </c>
      <c r="D18" s="0" t="n">
        <v>5544855.921</v>
      </c>
      <c r="E18" s="0" t="n">
        <f aca="false">D18-C18</f>
        <v>66369.9210000001</v>
      </c>
    </row>
    <row r="19" customFormat="false" ht="15" hidden="false" customHeight="false" outlineLevel="0" collapsed="false">
      <c r="A19" s="0" t="s">
        <v>102</v>
      </c>
      <c r="B19" s="0" t="s">
        <v>103</v>
      </c>
      <c r="C19" s="0" t="n">
        <v>209602</v>
      </c>
      <c r="D19" s="0" t="n">
        <v>211650.838</v>
      </c>
      <c r="E19" s="0" t="n">
        <f aca="false">D19-C19</f>
        <v>2048.83799999999</v>
      </c>
    </row>
    <row r="20" customFormat="false" ht="15" hidden="false" customHeight="false" outlineLevel="0" collapsed="false">
      <c r="A20" s="0" t="s">
        <v>102</v>
      </c>
      <c r="B20" s="0" t="s">
        <v>104</v>
      </c>
      <c r="C20" s="0" t="n">
        <v>53537</v>
      </c>
      <c r="D20" s="0" t="n">
        <v>53537</v>
      </c>
      <c r="E20" s="0" t="n">
        <f aca="false">D20-C20</f>
        <v>0</v>
      </c>
    </row>
    <row r="21" customFormat="false" ht="15" hidden="false" customHeight="false" outlineLevel="0" collapsed="false">
      <c r="A21" s="0" t="s">
        <v>102</v>
      </c>
      <c r="B21" s="0" t="s">
        <v>105</v>
      </c>
      <c r="C21" s="0" t="n">
        <v>1322917</v>
      </c>
      <c r="D21" s="0" t="n">
        <v>1298890.791</v>
      </c>
      <c r="E21" s="0" t="n">
        <f aca="false">D21-C21</f>
        <v>-24026.209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28.35" hidden="false" customHeight="false" outlineLevel="0" collapsed="false">
      <c r="A1" s="3" t="s">
        <v>106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</row>
    <row r="2" customFormat="false" ht="15" hidden="false" customHeight="false" outlineLevel="0" collapsed="false">
      <c r="A2" s="0" t="s">
        <v>114</v>
      </c>
      <c r="B2" s="0" t="s">
        <v>115</v>
      </c>
      <c r="C2" s="0" t="n">
        <v>400</v>
      </c>
      <c r="D2" s="0" t="n">
        <v>400</v>
      </c>
      <c r="E2" s="0" t="n">
        <v>400</v>
      </c>
      <c r="F2" s="0" t="n">
        <v>100</v>
      </c>
      <c r="G2" s="0" t="n">
        <v>0</v>
      </c>
      <c r="H2" s="0" t="n">
        <v>0</v>
      </c>
    </row>
    <row r="3" customFormat="false" ht="15" hidden="false" customHeight="false" outlineLevel="0" collapsed="false">
      <c r="A3" s="0" t="s">
        <v>116</v>
      </c>
      <c r="B3" s="0" t="s">
        <v>117</v>
      </c>
      <c r="C3" s="0" t="n">
        <v>1100</v>
      </c>
      <c r="D3" s="0" t="n">
        <v>1100</v>
      </c>
      <c r="E3" s="0" t="n">
        <v>1100</v>
      </c>
      <c r="F3" s="0" t="n">
        <v>100</v>
      </c>
      <c r="G3" s="0" t="n">
        <v>0</v>
      </c>
      <c r="H3" s="0" t="n">
        <v>14800</v>
      </c>
    </row>
    <row r="4" customFormat="false" ht="15" hidden="false" customHeight="false" outlineLevel="0" collapsed="false">
      <c r="A4" s="0" t="s">
        <v>118</v>
      </c>
      <c r="B4" s="0" t="s">
        <v>119</v>
      </c>
      <c r="C4" s="0" t="n">
        <v>660</v>
      </c>
      <c r="D4" s="0" t="n">
        <v>1320</v>
      </c>
      <c r="E4" s="0" t="n">
        <v>660</v>
      </c>
      <c r="F4" s="0" t="n">
        <v>100</v>
      </c>
      <c r="G4" s="0" t="n">
        <v>660</v>
      </c>
      <c r="H4" s="0" t="n">
        <v>9131.2</v>
      </c>
    </row>
    <row r="5" customFormat="false" ht="15" hidden="false" customHeight="false" outlineLevel="0" collapsed="false">
      <c r="A5" s="0" t="s">
        <v>120</v>
      </c>
      <c r="B5" s="0" t="s">
        <v>121</v>
      </c>
      <c r="C5" s="0" t="n">
        <v>2500</v>
      </c>
      <c r="D5" s="0" t="n">
        <v>2500</v>
      </c>
      <c r="E5" s="0" t="n">
        <v>2500</v>
      </c>
      <c r="F5" s="0" t="n">
        <v>100</v>
      </c>
      <c r="G5" s="0" t="n">
        <v>0</v>
      </c>
      <c r="H5" s="0" t="n">
        <v>25667.3</v>
      </c>
    </row>
    <row r="6" customFormat="false" ht="15" hidden="false" customHeight="false" outlineLevel="0" collapsed="false">
      <c r="A6" s="0" t="s">
        <v>122</v>
      </c>
      <c r="B6" s="0" t="s">
        <v>123</v>
      </c>
      <c r="C6" s="0" t="n">
        <v>600</v>
      </c>
      <c r="D6" s="0" t="n">
        <v>600</v>
      </c>
      <c r="E6" s="0" t="n">
        <v>600</v>
      </c>
      <c r="F6" s="0" t="n">
        <v>100</v>
      </c>
      <c r="G6" s="0" t="n">
        <v>0</v>
      </c>
      <c r="H6" s="0" t="n">
        <v>7195.9</v>
      </c>
    </row>
    <row r="7" customFormat="false" ht="15" hidden="false" customHeight="false" outlineLevel="0" collapsed="false">
      <c r="A7" s="0" t="s">
        <v>124</v>
      </c>
      <c r="B7" s="0" t="s">
        <v>125</v>
      </c>
      <c r="C7" s="0" t="n">
        <v>800</v>
      </c>
      <c r="D7" s="0" t="n">
        <v>800</v>
      </c>
      <c r="E7" s="0" t="n">
        <v>800</v>
      </c>
      <c r="F7" s="0" t="n">
        <v>100</v>
      </c>
      <c r="G7" s="0" t="n">
        <v>0</v>
      </c>
      <c r="H7" s="0" t="n">
        <v>540</v>
      </c>
    </row>
    <row r="8" customFormat="false" ht="15" hidden="false" customHeight="false" outlineLevel="0" collapsed="false">
      <c r="A8" s="0" t="s">
        <v>126</v>
      </c>
      <c r="B8" s="0" t="s">
        <v>127</v>
      </c>
      <c r="C8" s="0" t="n">
        <v>60</v>
      </c>
      <c r="D8" s="0" t="n">
        <v>60</v>
      </c>
      <c r="E8" s="0" t="n">
        <v>60</v>
      </c>
      <c r="F8" s="0" t="n">
        <v>100</v>
      </c>
      <c r="G8" s="0" t="n">
        <v>0</v>
      </c>
      <c r="H8" s="0" t="n">
        <v>9200</v>
      </c>
    </row>
    <row r="9" customFormat="false" ht="15" hidden="false" customHeight="false" outlineLevel="0" collapsed="false">
      <c r="A9" s="0" t="s">
        <v>128</v>
      </c>
      <c r="C9" s="0" t="n">
        <f aca="false">SUM(C2:C8)</f>
        <v>6120</v>
      </c>
      <c r="E9" s="0" t="n">
        <f aca="false">SUM(E2:E8)</f>
        <v>6120</v>
      </c>
      <c r="H9" s="0" t="n">
        <f aca="false">SUM(H2:H8)</f>
        <v>66534.4</v>
      </c>
    </row>
    <row r="10" customFormat="false" ht="15" hidden="false" customHeight="false" outlineLevel="0" collapsed="false">
      <c r="A10" s="0" t="s">
        <v>129</v>
      </c>
      <c r="H10" s="0" t="n">
        <f aca="false">H9/PT320_Materialidade!B14</f>
        <v>1.97431454005935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1" t="s">
        <v>130</v>
      </c>
    </row>
    <row r="3" customFormat="false" ht="15" hidden="false" customHeight="false" outlineLevel="0" collapsed="false">
      <c r="A3" s="0" t="s">
        <v>131</v>
      </c>
      <c r="B3" s="0" t="n">
        <v>7148365.5</v>
      </c>
    </row>
    <row r="4" customFormat="false" ht="15" hidden="false" customHeight="false" outlineLevel="0" collapsed="false">
      <c r="A4" s="0" t="s">
        <v>132</v>
      </c>
      <c r="B4" s="0" t="n">
        <f aca="false">PT320_Materialidade!B16</f>
        <v>25275</v>
      </c>
    </row>
    <row r="5" customFormat="false" ht="15" hidden="false" customHeight="false" outlineLevel="0" collapsed="false">
      <c r="A5" s="0" t="s">
        <v>133</v>
      </c>
      <c r="B5" s="0" t="n">
        <v>3</v>
      </c>
    </row>
    <row r="6" customFormat="false" ht="15" hidden="false" customHeight="false" outlineLevel="0" collapsed="false">
      <c r="A6" s="0" t="s">
        <v>134</v>
      </c>
      <c r="B6" s="0" t="n">
        <v>0.1</v>
      </c>
    </row>
    <row r="7" customFormat="false" ht="15" hidden="false" customHeight="false" outlineLevel="0" collapsed="false">
      <c r="A7" s="0" t="s">
        <v>135</v>
      </c>
      <c r="B7" s="0" t="n">
        <v>1.6</v>
      </c>
    </row>
    <row r="9" customFormat="false" ht="15" hidden="false" customHeight="false" outlineLevel="0" collapsed="false">
      <c r="A9" s="0" t="s">
        <v>136</v>
      </c>
      <c r="B9" s="0" t="n">
        <f aca="false">(B4-B6*B4*B7)/B5</f>
        <v>7077</v>
      </c>
    </row>
    <row r="10" customFormat="false" ht="15" hidden="false" customHeight="false" outlineLevel="0" collapsed="false">
      <c r="A10" s="0" t="s">
        <v>137</v>
      </c>
      <c r="B10" s="0" t="n">
        <f aca="false">B3/B9</f>
        <v>1010.0841458245</v>
      </c>
    </row>
    <row r="12" customFormat="false" ht="15" hidden="false" customHeight="false" outlineLevel="0" collapsed="false">
      <c r="A12" s="0" t="s">
        <v>138</v>
      </c>
      <c r="B12" s="0" t="n">
        <v>1010</v>
      </c>
    </row>
    <row r="13" customFormat="false" ht="15" hidden="false" customHeight="false" outlineLevel="0" collapsed="false">
      <c r="A13" s="0" t="s">
        <v>139</v>
      </c>
      <c r="B13" s="0" t="n">
        <v>17</v>
      </c>
    </row>
    <row r="14" customFormat="false" ht="15" hidden="false" customHeight="false" outlineLevel="0" collapsed="false">
      <c r="A14" s="0" t="s">
        <v>140</v>
      </c>
      <c r="B14" s="0" t="n">
        <v>93866.4</v>
      </c>
    </row>
    <row r="15" customFormat="false" ht="15" hidden="false" customHeight="false" outlineLevel="0" collapsed="false">
      <c r="A15" s="0" t="s">
        <v>141</v>
      </c>
      <c r="B15" s="0" t="n">
        <v>148273.7</v>
      </c>
    </row>
    <row r="16" customFormat="false" ht="15" hidden="false" customHeight="false" outlineLevel="0" collapsed="false">
      <c r="A16" s="0" t="s">
        <v>142</v>
      </c>
      <c r="B16" s="0" t="n">
        <v>66534.4</v>
      </c>
    </row>
    <row r="17" customFormat="false" ht="15" hidden="false" customHeight="false" outlineLevel="0" collapsed="false">
      <c r="A17" s="0" t="s">
        <v>143</v>
      </c>
      <c r="B17" s="0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2026-10-25T11:55:42Z</dcterms:created>
  <dc:creator>openpyxl</dc:creator>
  <dc:description/>
  <dc:language>en-US</dc:language>
  <cp:lastModifiedBy/>
  <dcterms:modified xsi:type="dcterms:W3CDTF">2026-10-25T11:55:42Z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